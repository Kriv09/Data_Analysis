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одель" sheetId="1" state="visible" r:id="rId3"/>
    <sheet name="Перевірка" sheetId="2" state="visible" r:id="rId4"/>
  </sheets>
  <definedNames>
    <definedName function="false" hidden="true" localSheetId="0" name="solver_acr" vbProcedure="false">0</definedName>
    <definedName function="false" hidden="true" localSheetId="0" name="solver_adj" vbProcedure="false">Модель!$B$6:$E$6</definedName>
    <definedName function="false" hidden="true" localSheetId="0" name="solver_asr" vbProcedure="false">0.5</definedName>
    <definedName function="false" hidden="true" localSheetId="0" name="solver_bbd" vbProcedure="false">1</definedName>
    <definedName function="false" hidden="true" localSheetId="0" name="solver_ccoeff" vbProcedure="false">0.729</definedName>
    <definedName function="false" hidden="true" localSheetId="0" name="solver_cog" vbProcedure="false">1.494</definedName>
    <definedName function="false" hidden="true" localSheetId="0" name="solver_crpb" vbProcedure="false">0.9</definedName>
    <definedName function="false" hidden="true" localSheetId="0" name="solver_eng" vbProcedure="false">2</definedName>
    <definedName function="false" hidden="true" localSheetId="0" name="solver_enst" vbProcedure="false">1</definedName>
    <definedName function="false" hidden="true" localSheetId="0" name="solver_eps" vbProcedure="false">0</definedName>
    <definedName function="false" hidden="true" localSheetId="0" name="solver_gvr" vbProcedure="false">1</definedName>
    <definedName function="false" hidden="true" localSheetId="0" name="solver_int" vbProcedure="false">0</definedName>
    <definedName function="false" hidden="true" localSheetId="0" name="solver_lbsz" vbProcedure="false">210</definedName>
    <definedName function="false" hidden="true" localSheetId="0" name="solver_lcy" vbProcedure="false">2000</definedName>
    <definedName function="false" hidden="true" localSheetId="0" name="solver_lhs1" vbProcedure="false">Модель!$F$15</definedName>
    <definedName function="false" hidden="true" localSheetId="0" name="solver_lhs2" vbProcedure="false">Модель!$F$16</definedName>
    <definedName function="false" hidden="true" localSheetId="0" name="solver_lhs3" vbProcedure="false">Модель!$F$17</definedName>
    <definedName function="false" hidden="true" localSheetId="0" name="solver_lhs4" vbProcedure="false">Модель!$F$18</definedName>
    <definedName function="false" hidden="true" localSheetId="0" name="solver_lhs5" vbProcedure="false">Модель!$F$19</definedName>
    <definedName function="false" hidden="true" localSheetId="0" name="solver_lo_eng" vbProcedure="false">"com.sun.star.comp.Calc.CoinMPSolver"</definedName>
    <definedName function="false" hidden="true" localSheetId="0" name="solver_mtpb" vbProcedure="false">0</definedName>
    <definedName function="false" hidden="true" localSheetId="0" name="solver_neg" vbProcedure="false">1</definedName>
    <definedName function="false" hidden="true" localSheetId="0" name="solver_num" vbProcedure="false">5</definedName>
    <definedName function="false" hidden="true" localSheetId="0" name="solver_opt" vbProcedure="false">Модель!$B$11</definedName>
    <definedName function="false" hidden="true" localSheetId="0" name="solver_prng" vbProcedure="false">0</definedName>
    <definedName function="false" hidden="true" localSheetId="0" name="solver_rel1" vbProcedure="false">1</definedName>
    <definedName function="false" hidden="true" localSheetId="0" name="solver_rel2" vbProcedure="false">1</definedName>
    <definedName function="false" hidden="true" localSheetId="0" name="solver_rel3" vbProcedure="false">1</definedName>
    <definedName function="false" hidden="true" localSheetId="0" name="solver_rel4" vbProcedure="false">1</definedName>
    <definedName function="false" hidden="true" localSheetId="0" name="solver_rel5" vbProcedure="false">1</definedName>
    <definedName function="false" hidden="true" localSheetId="0" name="solver_rhs1" vbProcedure="false">Модель!$H$15</definedName>
    <definedName function="false" hidden="true" localSheetId="0" name="solver_rhs2" vbProcedure="false">Модель!$H$16</definedName>
    <definedName function="false" hidden="true" localSheetId="0" name="solver_rhs3" vbProcedure="false">Модель!$H$17</definedName>
    <definedName function="false" hidden="true" localSheetId="0" name="solver_rhs4" vbProcedure="false">Модель!$H$18</definedName>
    <definedName function="false" hidden="true" localSheetId="0" name="solver_rhs5" vbProcedure="false">Модель!$H$19</definedName>
    <definedName function="false" hidden="true" localSheetId="0" name="solver_rsp" vbProcedure="false">0</definedName>
    <definedName function="false" hidden="true" localSheetId="0" name="solver_slim" vbProcedure="false">70</definedName>
    <definedName function="false" hidden="true" localSheetId="0" name="solver_smax" vbProcedure="false">0.5</definedName>
    <definedName function="false" hidden="true" localSheetId="0" name="solver_smin" vbProcedure="false">0.5</definedName>
    <definedName function="false" hidden="true" localSheetId="0" name="solver_soc" vbProcedure="false">1.494</definedName>
    <definedName function="false" hidden="true" localSheetId="0" name="solver_ssz" vbProcedure="false">70</definedName>
    <definedName function="false" hidden="true" localSheetId="0" name="solver_stol" vbProcedure="false">0.000001</definedName>
    <definedName function="false" hidden="true" localSheetId="0" name="solver_tim" vbProcedure="false">60000</definedName>
    <definedName function="false" hidden="true" localSheetId="0" name="solver_typ" vbProcedure="false">1</definedName>
    <definedName function="false" hidden="true" localSheetId="0" name="solver_vrt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<sst xmlns="http://schemas.openxmlformats.org/spreadsheetml/2006/main" count="67" uniqueCount="42">
  <si>
    <t xml:space="preserve">ВАРІАНТ 11  Кривичко Назар Карпатський дуб</t>
  </si>
  <si>
    <t xml:space="preserve">ЗМІННІ РІШЕННЯ</t>
  </si>
  <si>
    <t xml:space="preserve">Виріб</t>
  </si>
  <si>
    <t xml:space="preserve">Крісло</t>
  </si>
  <si>
    <t xml:space="preserve">Стілець</t>
  </si>
  <si>
    <t xml:space="preserve">Табурет</t>
  </si>
  <si>
    <t xml:space="preserve">Лава</t>
  </si>
  <si>
    <t xml:space="preserve">Випуск, шт./тиждень</t>
  </si>
  <si>
    <t xml:space="preserve">Позначення в моделі</t>
  </si>
  <si>
    <t xml:space="preserve">x1</t>
  </si>
  <si>
    <t xml:space="preserve">x2</t>
  </si>
  <si>
    <t xml:space="preserve">x3</t>
  </si>
  <si>
    <t xml:space="preserve">x4</t>
  </si>
  <si>
    <t xml:space="preserve">ЦІЛЬОВА ФУНКЦІЯ</t>
  </si>
  <si>
    <t xml:space="preserve">Прибуток з одиниці, грн</t>
  </si>
  <si>
    <t xml:space="preserve">Z - сумарний прибуток, грн/тиждень</t>
  </si>
  <si>
    <t xml:space="preserve">ОБМЕЖЕННЯ ПО РЕСУРСАХ</t>
  </si>
  <si>
    <t xml:space="preserve">Ресурс</t>
  </si>
  <si>
    <t xml:space="preserve">Витрачено</t>
  </si>
  <si>
    <t xml:space="preserve">Знак</t>
  </si>
  <si>
    <t xml:space="preserve">Запас</t>
  </si>
  <si>
    <t xml:space="preserve">Залишок</t>
  </si>
  <si>
    <t xml:space="preserve">Дубовий брус, м</t>
  </si>
  <si>
    <t xml:space="preserve">&lt;=</t>
  </si>
  <si>
    <t xml:space="preserve">Фанера, м²</t>
  </si>
  <si>
    <t xml:space="preserve">Фурнітура, компл.</t>
  </si>
  <si>
    <t xml:space="preserve">Верстат, год</t>
  </si>
  <si>
    <t xml:space="preserve">Лакування, год</t>
  </si>
  <si>
    <t xml:space="preserve">Оптимальний план</t>
  </si>
  <si>
    <t xml:space="preserve">Значення</t>
  </si>
  <si>
    <t xml:space="preserve">Точно (дріб)</t>
  </si>
  <si>
    <t xml:space="preserve">Крісло, x1</t>
  </si>
  <si>
    <t xml:space="preserve">Стілець, x2</t>
  </si>
  <si>
    <t xml:space="preserve">Табурет, x3</t>
  </si>
  <si>
    <t xml:space="preserve">Лава, x4</t>
  </si>
  <si>
    <t xml:space="preserve">Прибуток Z, грн/тиждень</t>
  </si>
  <si>
    <t xml:space="preserve">Використання ресурсів</t>
  </si>
  <si>
    <t xml:space="preserve">Тіньова ціна</t>
  </si>
  <si>
    <t xml:space="preserve">Статус</t>
  </si>
  <si>
    <t xml:space="preserve">надлишок</t>
  </si>
  <si>
    <t xml:space="preserve">ДЕФІЦИТ</t>
  </si>
  <si>
    <t xml:space="preserve">Нормовані вартості (reduced cost)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</si>
</sst>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sz val="10"/>
      <color rgb="FF80808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9"/>
      <color rgb="FF808080"/>
      <name val="Arial"/>
      <family val="2"/>
      <charset val="1"/>
    </font>
    <font>
      <sz val="11"/>
      <color rgb="FF808080"/>
      <name val="Arial"/>
      <family val="2"/>
      <charset val="1"/>
    </font>
    <font>
      <b val="true"/>
      <sz val="11"/>
      <color rgb="FFC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2" activeCellId="0" sqref="I3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73.57"/>
    <col collapsed="false" customWidth="true" hidden="false" outlineLevel="0" max="5" min="2" style="1" width="11"/>
    <col collapsed="false" customWidth="true" hidden="false" outlineLevel="0" max="6" min="6" style="1" width="12"/>
    <col collapsed="false" customWidth="true" hidden="false" outlineLevel="0" max="7" min="7" style="1" width="7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25.14"/>
    <col collapsed="false" customWidth="true" hidden="false" outlineLevel="0" max="11" min="11" style="1" width="2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4" customFormat="false" ht="15" hidden="false" customHeight="false" outlineLevel="0" collapsed="false">
      <c r="A4" s="4" t="s">
        <v>1</v>
      </c>
    </row>
    <row r="5" customFormat="false" ht="15" hidden="false" customHeight="false" outlineLevel="0" collapsed="false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</row>
    <row r="6" customFormat="false" ht="15" hidden="false" customHeight="false" outlineLevel="0" collapsed="false">
      <c r="A6" s="5" t="s">
        <v>7</v>
      </c>
      <c r="B6" s="7" t="n">
        <v>0</v>
      </c>
      <c r="C6" s="7" t="n">
        <v>0</v>
      </c>
      <c r="D6" s="7" t="n">
        <v>209.5</v>
      </c>
      <c r="E6" s="7" t="n">
        <v>103.166666666667</v>
      </c>
      <c r="G6" s="8"/>
    </row>
    <row r="7" customFormat="false" ht="15" hidden="false" customHeight="false" outlineLevel="0" collapsed="false">
      <c r="A7" s="8" t="s">
        <v>8</v>
      </c>
      <c r="B7" s="9" t="s">
        <v>9</v>
      </c>
      <c r="C7" s="9" t="s">
        <v>10</v>
      </c>
      <c r="D7" s="9" t="s">
        <v>11</v>
      </c>
      <c r="E7" s="9" t="s">
        <v>12</v>
      </c>
    </row>
    <row r="9" customFormat="false" ht="15" hidden="false" customHeight="false" outlineLevel="0" collapsed="false">
      <c r="A9" s="4" t="s">
        <v>13</v>
      </c>
    </row>
    <row r="10" customFormat="false" ht="15" hidden="false" customHeight="false" outlineLevel="0" collapsed="false">
      <c r="A10" s="5" t="s">
        <v>14</v>
      </c>
      <c r="B10" s="10" t="n">
        <v>30</v>
      </c>
      <c r="C10" s="10" t="n">
        <v>16</v>
      </c>
      <c r="D10" s="10" t="n">
        <v>51</v>
      </c>
      <c r="E10" s="10" t="n">
        <v>35</v>
      </c>
    </row>
    <row r="11" customFormat="false" ht="15" hidden="false" customHeight="false" outlineLevel="0" collapsed="false">
      <c r="A11" s="5" t="s">
        <v>15</v>
      </c>
      <c r="B11" s="11" t="n">
        <f aca="false">SUMPRODUCT($B$6:$E$6,$B$10:$E$10)</f>
        <v>14295.3333333333</v>
      </c>
      <c r="C11" s="5"/>
      <c r="G11" s="8"/>
    </row>
    <row r="13" customFormat="false" ht="15" hidden="false" customHeight="false" outlineLevel="0" collapsed="false">
      <c r="A13" s="4" t="s">
        <v>16</v>
      </c>
    </row>
    <row r="14" customFormat="false" ht="15" hidden="false" customHeight="false" outlineLevel="0" collapsed="false">
      <c r="A14" s="12" t="s">
        <v>17</v>
      </c>
      <c r="B14" s="12" t="s">
        <v>3</v>
      </c>
      <c r="C14" s="12" t="s">
        <v>4</v>
      </c>
      <c r="D14" s="12" t="s">
        <v>5</v>
      </c>
      <c r="E14" s="12" t="s">
        <v>6</v>
      </c>
      <c r="F14" s="12" t="s">
        <v>18</v>
      </c>
      <c r="G14" s="12" t="s">
        <v>19</v>
      </c>
      <c r="H14" s="12" t="s">
        <v>20</v>
      </c>
      <c r="I14" s="12" t="s">
        <v>21</v>
      </c>
    </row>
    <row r="15" customFormat="false" ht="15" hidden="false" customHeight="false" outlineLevel="0" collapsed="false">
      <c r="A15" s="13" t="s">
        <v>22</v>
      </c>
      <c r="B15" s="10" t="n">
        <v>2</v>
      </c>
      <c r="C15" s="10" t="n">
        <v>1</v>
      </c>
      <c r="D15" s="10" t="n">
        <v>0</v>
      </c>
      <c r="E15" s="10" t="n">
        <v>3</v>
      </c>
      <c r="F15" s="14" t="n">
        <f aca="false">SUMPRODUCT($B$6:$E$6,B15:E15)</f>
        <v>309.5</v>
      </c>
      <c r="G15" s="15" t="s">
        <v>23</v>
      </c>
      <c r="H15" s="10" t="n">
        <v>1312</v>
      </c>
      <c r="I15" s="16" t="n">
        <f aca="false">H15-F15</f>
        <v>1002.5</v>
      </c>
      <c r="K15" s="8"/>
    </row>
    <row r="16" customFormat="false" ht="15" hidden="false" customHeight="false" outlineLevel="0" collapsed="false">
      <c r="A16" s="13" t="s">
        <v>24</v>
      </c>
      <c r="B16" s="10" t="n">
        <v>3</v>
      </c>
      <c r="C16" s="10" t="n">
        <v>1</v>
      </c>
      <c r="D16" s="10" t="n">
        <v>4</v>
      </c>
      <c r="E16" s="10" t="n">
        <v>0</v>
      </c>
      <c r="F16" s="14" t="n">
        <f aca="false">SUMPRODUCT($B$6:$E$6,B16:E16)</f>
        <v>838</v>
      </c>
      <c r="G16" s="15" t="s">
        <v>23</v>
      </c>
      <c r="H16" s="10" t="n">
        <v>838</v>
      </c>
      <c r="I16" s="16" t="n">
        <f aca="false">H16-F16</f>
        <v>0</v>
      </c>
      <c r="K16" s="8"/>
    </row>
    <row r="17" customFormat="false" ht="15" hidden="false" customHeight="false" outlineLevel="0" collapsed="false">
      <c r="A17" s="13" t="s">
        <v>25</v>
      </c>
      <c r="B17" s="10" t="n">
        <v>1</v>
      </c>
      <c r="C17" s="10" t="n">
        <v>0</v>
      </c>
      <c r="D17" s="10" t="n">
        <v>3</v>
      </c>
      <c r="E17" s="10" t="n">
        <v>2</v>
      </c>
      <c r="F17" s="14" t="n">
        <f aca="false">SUMPRODUCT($B$6:$E$6,B17:E17)</f>
        <v>834.833333333333</v>
      </c>
      <c r="G17" s="15" t="s">
        <v>23</v>
      </c>
      <c r="H17" s="10" t="n">
        <v>1062</v>
      </c>
      <c r="I17" s="16" t="n">
        <f aca="false">H17-F17</f>
        <v>227.166666666667</v>
      </c>
    </row>
    <row r="18" customFormat="false" ht="15" hidden="false" customHeight="false" outlineLevel="0" collapsed="false">
      <c r="A18" s="13" t="s">
        <v>26</v>
      </c>
      <c r="B18" s="10" t="n">
        <v>3</v>
      </c>
      <c r="C18" s="10" t="n">
        <v>2</v>
      </c>
      <c r="D18" s="10" t="n">
        <v>2</v>
      </c>
      <c r="E18" s="10" t="n">
        <v>6</v>
      </c>
      <c r="F18" s="14" t="n">
        <f aca="false">SUMPRODUCT($B$6:$E$6,B18:E18)</f>
        <v>1038</v>
      </c>
      <c r="G18" s="15" t="s">
        <v>23</v>
      </c>
      <c r="H18" s="10" t="n">
        <v>1038</v>
      </c>
      <c r="I18" s="16" t="n">
        <f aca="false">H18-F18</f>
        <v>0</v>
      </c>
    </row>
    <row r="19" customFormat="false" ht="15" hidden="false" customHeight="false" outlineLevel="0" collapsed="false">
      <c r="A19" s="13" t="s">
        <v>27</v>
      </c>
      <c r="B19" s="10" t="n">
        <v>3</v>
      </c>
      <c r="C19" s="10" t="n">
        <v>6</v>
      </c>
      <c r="D19" s="10" t="n">
        <v>0</v>
      </c>
      <c r="E19" s="10" t="n">
        <v>3</v>
      </c>
      <c r="F19" s="14" t="n">
        <f aca="false">SUMPRODUCT($B$6:$E$6,B19:E19)</f>
        <v>309.5</v>
      </c>
      <c r="G19" s="15" t="s">
        <v>23</v>
      </c>
      <c r="H19" s="10" t="n">
        <v>1236</v>
      </c>
      <c r="I19" s="16" t="n">
        <f aca="false">H19-F19</f>
        <v>926.5</v>
      </c>
    </row>
    <row r="22" customFormat="false" ht="15" hidden="false" customHeight="false" outlineLevel="0" collapsed="false">
      <c r="A22" s="17"/>
    </row>
    <row r="23" customFormat="false" ht="15" hidden="false" customHeight="false" outlineLevel="0" collapsed="false">
      <c r="A23" s="18"/>
      <c r="B23" s="3"/>
    </row>
    <row r="24" customFormat="false" ht="15" hidden="false" customHeight="false" outlineLevel="0" collapsed="false">
      <c r="A24" s="18"/>
      <c r="B24" s="3"/>
    </row>
    <row r="25" customFormat="false" ht="15" hidden="false" customHeight="false" outlineLevel="0" collapsed="false">
      <c r="A25" s="18"/>
      <c r="B25" s="3"/>
    </row>
    <row r="26" customFormat="false" ht="15" hidden="false" customHeight="false" outlineLevel="0" collapsed="false">
      <c r="A26" s="18"/>
      <c r="B26" s="3"/>
    </row>
    <row r="27" customFormat="false" ht="15" hidden="false" customHeight="false" outlineLevel="0" collapsed="false">
      <c r="A27" s="18"/>
      <c r="B27" s="3"/>
    </row>
    <row r="29" customFormat="false" ht="15" hidden="false" customHeight="false" outlineLevel="0" collapsed="false">
      <c r="A29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61" activeCellId="0" sqref="A6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44.94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6" min="4" style="1" width="15"/>
  </cols>
  <sheetData>
    <row r="1" customFormat="false" ht="17.35" hidden="false" customHeight="false" outlineLevel="0" collapsed="false">
      <c r="A1" s="2"/>
    </row>
    <row r="2" customFormat="false" ht="15" hidden="false" customHeight="false" outlineLevel="0" collapsed="false">
      <c r="A2" s="8"/>
    </row>
    <row r="4" customFormat="false" ht="15" hidden="false" customHeight="false" outlineLevel="0" collapsed="false">
      <c r="A4" s="4" t="s">
        <v>28</v>
      </c>
    </row>
    <row r="5" customFormat="false" ht="15" hidden="false" customHeight="false" outlineLevel="0" collapsed="false">
      <c r="A5" s="5" t="s">
        <v>2</v>
      </c>
      <c r="B5" s="5" t="s">
        <v>29</v>
      </c>
      <c r="C5" s="5" t="s">
        <v>30</v>
      </c>
    </row>
    <row r="6" customFormat="false" ht="15" hidden="false" customHeight="false" outlineLevel="0" collapsed="false">
      <c r="A6" s="20" t="s">
        <v>31</v>
      </c>
      <c r="B6" s="21" t="n">
        <v>0</v>
      </c>
      <c r="C6" s="8"/>
    </row>
    <row r="7" customFormat="false" ht="15" hidden="false" customHeight="false" outlineLevel="0" collapsed="false">
      <c r="A7" s="20" t="s">
        <v>32</v>
      </c>
      <c r="B7" s="21" t="n">
        <v>0</v>
      </c>
      <c r="C7" s="8"/>
    </row>
    <row r="8" customFormat="false" ht="15" hidden="false" customHeight="false" outlineLevel="0" collapsed="false">
      <c r="A8" s="20" t="s">
        <v>33</v>
      </c>
      <c r="B8" s="21" t="n">
        <v>209.5</v>
      </c>
      <c r="C8" s="8"/>
    </row>
    <row r="9" customFormat="false" ht="15" hidden="false" customHeight="false" outlineLevel="0" collapsed="false">
      <c r="A9" s="20" t="s">
        <v>34</v>
      </c>
      <c r="B9" s="21" t="n">
        <v>103.166666666667</v>
      </c>
      <c r="C9" s="8"/>
    </row>
    <row r="11" customFormat="false" ht="15" hidden="false" customHeight="false" outlineLevel="0" collapsed="false">
      <c r="A11" s="22" t="s">
        <v>35</v>
      </c>
      <c r="B11" s="11" t="n">
        <v>14295.333333333</v>
      </c>
      <c r="C11" s="8"/>
    </row>
    <row r="14" customFormat="false" ht="15" hidden="false" customHeight="false" outlineLevel="0" collapsed="false">
      <c r="A14" s="4" t="s">
        <v>36</v>
      </c>
    </row>
    <row r="15" customFormat="false" ht="15" hidden="false" customHeight="false" outlineLevel="0" collapsed="false">
      <c r="A15" s="23" t="s">
        <v>17</v>
      </c>
      <c r="B15" s="23" t="s">
        <v>18</v>
      </c>
      <c r="C15" s="23" t="s">
        <v>20</v>
      </c>
      <c r="D15" s="23" t="s">
        <v>21</v>
      </c>
      <c r="E15" s="23" t="s">
        <v>37</v>
      </c>
      <c r="F15" s="23" t="s">
        <v>38</v>
      </c>
    </row>
    <row r="16" customFormat="false" ht="15" hidden="false" customHeight="false" outlineLevel="0" collapsed="false">
      <c r="A16" s="24" t="s">
        <v>22</v>
      </c>
      <c r="B16" s="21" t="n">
        <v>309.5</v>
      </c>
      <c r="C16" s="21" t="n">
        <v>1312</v>
      </c>
      <c r="D16" s="21" t="n">
        <v>1002.5</v>
      </c>
      <c r="E16" s="21" t="n">
        <v>0</v>
      </c>
      <c r="F16" s="25" t="s">
        <v>39</v>
      </c>
    </row>
    <row r="17" customFormat="false" ht="15" hidden="false" customHeight="false" outlineLevel="0" collapsed="false">
      <c r="A17" s="26" t="s">
        <v>24</v>
      </c>
      <c r="B17" s="21" t="n">
        <v>838</v>
      </c>
      <c r="C17" s="21" t="n">
        <v>838</v>
      </c>
      <c r="D17" s="21" t="n">
        <v>0</v>
      </c>
      <c r="E17" s="21" t="n">
        <v>9.83333333333333</v>
      </c>
      <c r="F17" s="27" t="s">
        <v>40</v>
      </c>
    </row>
    <row r="18" customFormat="false" ht="15" hidden="false" customHeight="false" outlineLevel="0" collapsed="false">
      <c r="A18" s="24" t="s">
        <v>25</v>
      </c>
      <c r="B18" s="21" t="n">
        <v>834.833333333333</v>
      </c>
      <c r="C18" s="21" t="n">
        <v>1062</v>
      </c>
      <c r="D18" s="21" t="n">
        <v>227.166666666667</v>
      </c>
      <c r="E18" s="21" t="n">
        <v>0</v>
      </c>
      <c r="F18" s="25" t="s">
        <v>39</v>
      </c>
    </row>
    <row r="19" customFormat="false" ht="15" hidden="false" customHeight="false" outlineLevel="0" collapsed="false">
      <c r="A19" s="26" t="s">
        <v>26</v>
      </c>
      <c r="B19" s="21" t="n">
        <v>1038</v>
      </c>
      <c r="C19" s="21" t="n">
        <v>1038</v>
      </c>
      <c r="D19" s="21" t="n">
        <v>0</v>
      </c>
      <c r="E19" s="21" t="n">
        <v>5.83333333333333</v>
      </c>
      <c r="F19" s="27" t="s">
        <v>40</v>
      </c>
    </row>
    <row r="20" customFormat="false" ht="15" hidden="false" customHeight="false" outlineLevel="0" collapsed="false">
      <c r="A20" s="24" t="s">
        <v>27</v>
      </c>
      <c r="B20" s="21" t="n">
        <v>309.5</v>
      </c>
      <c r="C20" s="21" t="n">
        <v>1236</v>
      </c>
      <c r="D20" s="21" t="n">
        <v>926.5</v>
      </c>
      <c r="E20" s="21" t="n">
        <v>0</v>
      </c>
      <c r="F20" s="25" t="s">
        <v>39</v>
      </c>
    </row>
    <row r="23" customFormat="false" ht="15" hidden="false" customHeight="false" outlineLevel="0" collapsed="false">
      <c r="A23" s="4" t="s">
        <v>41</v>
      </c>
    </row>
    <row r="24" customFormat="false" ht="15" hidden="false" customHeight="false" outlineLevel="0" collapsed="false">
      <c r="A24" s="20" t="s">
        <v>31</v>
      </c>
      <c r="B24" s="28" t="n">
        <v>-17</v>
      </c>
      <c r="C24" s="8"/>
    </row>
    <row r="25" customFormat="false" ht="15" hidden="false" customHeight="false" outlineLevel="0" collapsed="false">
      <c r="A25" s="20" t="s">
        <v>32</v>
      </c>
      <c r="B25" s="28" t="n">
        <v>-5.5</v>
      </c>
      <c r="C25" s="8"/>
    </row>
    <row r="26" customFormat="false" ht="15" hidden="false" customHeight="false" outlineLevel="0" collapsed="false">
      <c r="A26" s="20" t="s">
        <v>33</v>
      </c>
      <c r="B26" s="28" t="n">
        <v>0</v>
      </c>
      <c r="C26" s="8"/>
    </row>
    <row r="27" customFormat="false" ht="15" hidden="false" customHeight="false" outlineLevel="0" collapsed="false">
      <c r="A27" s="20" t="s">
        <v>34</v>
      </c>
      <c r="B27" s="28" t="n">
        <v>0</v>
      </c>
      <c r="C27" s="8"/>
    </row>
    <row r="29" customFormat="false" ht="15" hidden="false" customHeight="false" outlineLevel="0" collapsed="false">
      <c r="A29" s="17"/>
    </row>
    <row r="30" customFormat="false" ht="15" hidden="false" customHeight="true" outlineLevel="0" collapsed="false">
      <c r="A30" s="29"/>
      <c r="B30" s="29"/>
      <c r="C30" s="29"/>
      <c r="D30" s="29"/>
      <c r="E30" s="29"/>
      <c r="F30" s="29"/>
    </row>
    <row r="31" customFormat="false" ht="15" hidden="false" customHeight="false" outlineLevel="0" collapsed="false">
      <c r="A31" s="29"/>
      <c r="B31" s="29"/>
      <c r="C31" s="29"/>
      <c r="D31" s="29"/>
      <c r="E31" s="29"/>
      <c r="F31" s="29"/>
    </row>
    <row r="32" customFormat="false" ht="15" hidden="false" customHeight="false" outlineLevel="0" collapsed="false">
      <c r="A32" s="29"/>
      <c r="B32" s="29"/>
      <c r="C32" s="29"/>
      <c r="D32" s="29"/>
      <c r="E32" s="29"/>
      <c r="F32" s="29"/>
    </row>
  </sheetData>
  <mergeCells count="1">
    <mergeCell ref="A30:F3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2026-09-28T18:41:27Z</dcterms:created>
  <dc:creator>openpyxl</dc:creator>
  <dc:description/>
  <dc:language>en-US</dc:language>
  <cp:lastModifiedBy/>
  <dcterms:modified xsi:type="dcterms:W3CDTF">2026-09-29T00:05:37Z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